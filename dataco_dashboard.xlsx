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janatamang/Documents/business analyst projects/"/>
    </mc:Choice>
  </mc:AlternateContent>
  <xr:revisionPtr revIDLastSave="0" documentId="8_{1B74F072-A718-3440-86AF-ABBF7ED7E179}" xr6:coauthVersionLast="47" xr6:coauthVersionMax="47" xr10:uidLastSave="{00000000-0000-0000-0000-000000000000}"/>
  <bookViews>
    <workbookView xWindow="1100" yWindow="820" windowWidth="25420" windowHeight="17440" xr2:uid="{EB41567D-5483-4343-BE0D-9DAA04D4060D}"/>
  </bookViews>
  <sheets>
    <sheet name="Dashboard" sheetId="5" r:id="rId1"/>
    <sheet name="Shipping" sheetId="1" r:id="rId2"/>
    <sheet name="Sales" sheetId="2" r:id="rId3"/>
    <sheet name="Region" sheetId="3" r:id="rId4"/>
    <sheet name="Discount vs Profit" sheetId="4" r:id="rId5"/>
  </sheets>
  <definedNames>
    <definedName name="_xlchart.v1.0" hidden="1">'Discount vs Profit'!$A$2:$A$8</definedName>
    <definedName name="_xlchart.v1.1" hidden="1">'Discount vs Profit'!$C$1</definedName>
    <definedName name="_xlchart.v1.2" hidden="1">'Discount vs Profit'!$C$2:$C$8</definedName>
    <definedName name="_xlchart.v2.3" hidden="1">'Discount vs Profit'!$A$2:$A$8</definedName>
    <definedName name="_xlchart.v2.4" hidden="1">'Discount vs Profit'!$C$1</definedName>
    <definedName name="_xlchart.v2.5" hidden="1">'Discount vs Profit'!$C$2:$C$8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<sst xmlns="http://schemas.openxmlformats.org/spreadsheetml/2006/main" count="51" uniqueCount="42">
  <si>
    <t>total_orders</t>
  </si>
  <si>
    <t>First Class</t>
  </si>
  <si>
    <t>Second Class</t>
  </si>
  <si>
    <t>Same Day</t>
  </si>
  <si>
    <t>Standard Class</t>
  </si>
  <si>
    <t>Shipping Mode</t>
  </si>
  <si>
    <t>late_pct</t>
  </si>
  <si>
    <t>avg_profit_ratio</t>
  </si>
  <si>
    <t>Category Name</t>
  </si>
  <si>
    <t>total_sales</t>
  </si>
  <si>
    <t>Fishing</t>
  </si>
  <si>
    <t>Cleats</t>
  </si>
  <si>
    <t>Camping &amp; Hiking</t>
  </si>
  <si>
    <t>Cardio Equipment</t>
  </si>
  <si>
    <t>Women's Apparel</t>
  </si>
  <si>
    <t>Water Sports</t>
  </si>
  <si>
    <t>Men's Footwear</t>
  </si>
  <si>
    <t>Order Region</t>
  </si>
  <si>
    <t>Western Europe</t>
  </si>
  <si>
    <t>Central America</t>
  </si>
  <si>
    <t>South America</t>
  </si>
  <si>
    <t>Northern Europe</t>
  </si>
  <si>
    <t>Southern Europe</t>
  </si>
  <si>
    <t>Oceania</t>
  </si>
  <si>
    <t>Southeast Asia</t>
  </si>
  <si>
    <t>avg_discount_pct</t>
  </si>
  <si>
    <t>num_orders</t>
  </si>
  <si>
    <t>Men's Clothing</t>
  </si>
  <si>
    <t>Strength Training</t>
  </si>
  <si>
    <t>As Seen on TV!</t>
  </si>
  <si>
    <t>Books</t>
  </si>
  <si>
    <t>Video Games</t>
  </si>
  <si>
    <t>Hunting &amp; Shooting</t>
  </si>
  <si>
    <t>Pet Supplies</t>
  </si>
  <si>
    <t>DataCo Supply Chain — Late Delivery &amp; Profitability Analysis</t>
  </si>
  <si>
    <t>Business question: Are premium shipping options actually delivering the reliability customers pay for?</t>
  </si>
  <si>
    <t>Key Findings</t>
  </si>
  <si>
    <t>1. 54.8% of all orders (98,977 of 180,519) arrived late — a systemic issue, not an edge case.</t>
  </si>
  <si>
    <t>2. Late delivery is driven by shipping mode, not region: First Class has a 95.3% late rate vs. 38.1% for Standard Class, while regions stay nearly flat (~54-56%).</t>
  </si>
  <si>
    <t>3. Late delivery is invisible in profit data — average profit ratio stays ~12% regardless of shipping mode.</t>
  </si>
  <si>
    <t>4. Discounting is not the main driver of low-margin categories — discount rates are similar (~10%) across categories, so something else (likely cost structure) explains weak margins in categories like Men's Clothing and Strength Training.</t>
  </si>
  <si>
    <t>Recommendation: Review First Class fulfillment operations or adjust delivery-time promises for that tier. Customers paying a premium for speed are getting the least reliable delivery of any shipping option — a risk invisible in profit reports but very visible to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</si>
</sst>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FFFFFF"/>
      <name val="American Typewriter"/>
      <family val="1"/>
    </font>
    <font>
      <sz val="13"/>
      <color theme="1"/>
      <name val="Helvetica Neue"/>
      <family val="2"/>
    </font>
    <font>
      <b/>
      <sz val="13"/>
      <color theme="1"/>
      <name val="Helvetica Neue"/>
      <family val="2"/>
    </font>
    <font>
      <b/>
      <sz val="20"/>
      <color theme="1"/>
      <name val="Aptos Display (Headings)"/>
    </font>
    <font>
      <b/>
      <sz val="18"/>
      <color theme="1"/>
      <name val="Aptos Narrow (Body)"/>
    </font>
    <font>
      <b/>
      <sz val="16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quotePrefix="1" applyFont="1"/>
    <xf numFmtId="0" fontId="7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Late Delivery Rate by Shipping Mode (%)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Shipping!$C$1</c:f>
              <c:strCache>
                <c:ptCount val="1"/>
                <c:pt idx="0">
                  <c:v>late_pct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Shipping!$A$2:$A$5</c:f>
              <c:strCache>
                <c:ptCount val="4"/>
                <c:pt idx="0">
                  <c:v>First Class</c:v>
                </c:pt>
                <c:pt idx="1">
                  <c:v>Second Class</c:v>
                </c:pt>
                <c:pt idx="2">
                  <c:v>Same Day</c:v>
                </c:pt>
                <c:pt idx="3">
                  <c:v>Standard Class</c:v>
                </c:pt>
              </c:strCache>
            </c:strRef>
          </c:cat>
          <c:val>
            <c:numRef>
              <c:f>Shipping!$C$2:$C$5</c:f>
              <c:numCache>
                <c:formatCode>General</c:formatCode>
                <c:ptCount val="4"/>
                <c:pt idx="0">
                  <c:v>95.3</c:v>
                </c:pt>
                <c:pt idx="1">
                  <c:v>76.599999999999994</c:v>
                </c:pt>
                <c:pt idx="2">
                  <c:v>45.7</c:v>
                </c:pt>
                <c:pt idx="3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C-3F49-91C5-132A0C042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077840"/>
        <c:axId val="1017104336"/>
      </c:barChart>
      <c:catAx>
        <c:axId val="49207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04336"/>
        <c:crosses val="autoZero"/>
        <c:auto val="1"/>
        <c:lblAlgn val="ctr"/>
        <c:lblOffset val="100"/>
        <c:noMultiLvlLbl val="0"/>
      </c:catAx>
      <c:valAx>
        <c:axId val="1017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Total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Sales!$C$2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Sales!$A$3:$A$9</c:f>
              <c:strCache>
                <c:ptCount val="7"/>
                <c:pt idx="0">
                  <c:v>Fishing</c:v>
                </c:pt>
                <c:pt idx="1">
                  <c:v>Cleats</c:v>
                </c:pt>
                <c:pt idx="2">
                  <c:v>Camping &amp; Hiking</c:v>
                </c:pt>
                <c:pt idx="3">
                  <c:v>Cardio Equipment</c:v>
                </c:pt>
                <c:pt idx="4">
                  <c:v>Women's Apparel</c:v>
                </c:pt>
                <c:pt idx="5">
                  <c:v>Water Sports</c:v>
                </c:pt>
                <c:pt idx="6">
                  <c:v>Men's Footwear</c:v>
                </c:pt>
              </c:strCache>
            </c:strRef>
          </c:cat>
          <c:val>
            <c:numRef>
              <c:f>Sales!$C$3:$C$9</c:f>
              <c:numCache>
                <c:formatCode>General</c:formatCode>
                <c:ptCount val="7"/>
                <c:pt idx="0">
                  <c:v>6929654</c:v>
                </c:pt>
                <c:pt idx="1">
                  <c:v>4431943</c:v>
                </c:pt>
                <c:pt idx="2">
                  <c:v>4118426</c:v>
                </c:pt>
                <c:pt idx="3">
                  <c:v>3694843</c:v>
                </c:pt>
                <c:pt idx="4">
                  <c:v>3147800</c:v>
                </c:pt>
                <c:pt idx="5">
                  <c:v>3113845</c:v>
                </c:pt>
                <c:pt idx="6">
                  <c:v>2891758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B-A749-BEA6-6995C388C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469840"/>
        <c:axId val="2016468672"/>
      </c:barChart>
      <c:catAx>
        <c:axId val="201646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68672"/>
        <c:crosses val="autoZero"/>
        <c:auto val="1"/>
        <c:lblAlgn val="ctr"/>
        <c:lblOffset val="100"/>
        <c:noMultiLvlLbl val="0"/>
      </c:catAx>
      <c:valAx>
        <c:axId val="201646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Late Delivery Rate by Region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Region!$C$1</c:f>
              <c:strCache>
                <c:ptCount val="1"/>
                <c:pt idx="0">
                  <c:v>late_pct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Region!$A$2:$A$8</c:f>
              <c:strCache>
                <c:ptCount val="7"/>
                <c:pt idx="0">
                  <c:v>Western Europe</c:v>
                </c:pt>
                <c:pt idx="1">
                  <c:v>Central America</c:v>
                </c:pt>
                <c:pt idx="2">
                  <c:v>South America</c:v>
                </c:pt>
                <c:pt idx="3">
                  <c:v>Northern Europe</c:v>
                </c:pt>
                <c:pt idx="4">
                  <c:v>Southern Europe</c:v>
                </c:pt>
                <c:pt idx="5">
                  <c:v>Oceania</c:v>
                </c:pt>
                <c:pt idx="6">
                  <c:v>Southeast Asia</c:v>
                </c:pt>
              </c:strCache>
            </c:strRef>
          </c:cat>
          <c:val>
            <c:numRef>
              <c:f>Region!$C$2:$C$8</c:f>
              <c:numCache>
                <c:formatCode>General</c:formatCode>
                <c:ptCount val="7"/>
                <c:pt idx="0">
                  <c:v>55.8</c:v>
                </c:pt>
                <c:pt idx="1">
                  <c:v>54.8</c:v>
                </c:pt>
                <c:pt idx="2">
                  <c:v>54.3</c:v>
                </c:pt>
                <c:pt idx="3">
                  <c:v>54</c:v>
                </c:pt>
                <c:pt idx="4">
                  <c:v>54.4</c:v>
                </c:pt>
                <c:pt idx="5">
                  <c:v>54</c:v>
                </c:pt>
                <c:pt idx="6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C-1B43-BD8F-EAEBC6340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969440"/>
        <c:axId val="942088960"/>
      </c:barChart>
      <c:catAx>
        <c:axId val="201696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88960"/>
        <c:crossesAt val="0"/>
        <c:auto val="1"/>
        <c:lblAlgn val="ctr"/>
        <c:lblOffset val="100"/>
        <c:noMultiLvlLbl val="0"/>
      </c:catAx>
      <c:valAx>
        <c:axId val="942088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Average Profit Ratio by Category (Lowest 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vs Profit'!$C$1</c:f>
              <c:strCache>
                <c:ptCount val="1"/>
                <c:pt idx="0">
                  <c:v>avg_profit_ratio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vs Profit'!$A$2:$A$8</c:f>
              <c:strCache>
                <c:ptCount val="7"/>
                <c:pt idx="0">
                  <c:v>Men's Clothing</c:v>
                </c:pt>
                <c:pt idx="1">
                  <c:v>Strength Training</c:v>
                </c:pt>
                <c:pt idx="2">
                  <c:v>As Seen on TV!</c:v>
                </c:pt>
                <c:pt idx="3">
                  <c:v>Books</c:v>
                </c:pt>
                <c:pt idx="4">
                  <c:v>Video Games</c:v>
                </c:pt>
                <c:pt idx="5">
                  <c:v>Hunting &amp; Shooting</c:v>
                </c:pt>
                <c:pt idx="6">
                  <c:v>Pet Supplies</c:v>
                </c:pt>
              </c:strCache>
            </c:strRef>
          </c:cat>
          <c:val>
            <c:numRef>
              <c:f>'Discount vs Profit'!$C$2:$C$8</c:f>
              <c:numCache>
                <c:formatCode>General</c:formatCode>
                <c:ptCount val="7"/>
                <c:pt idx="0">
                  <c:v>5.2999999999999999E-2</c:v>
                </c:pt>
                <c:pt idx="1">
                  <c:v>5.8999999999999997E-2</c:v>
                </c:pt>
                <c:pt idx="2">
                  <c:v>6.5000000000000002E-2</c:v>
                </c:pt>
                <c:pt idx="3">
                  <c:v>7.9000000000000001E-2</c:v>
                </c:pt>
                <c:pt idx="4">
                  <c:v>9.1999999999999998E-2</c:v>
                </c:pt>
                <c:pt idx="5">
                  <c:v>9.2999999999999999E-2</c:v>
                </c:pt>
                <c:pt idx="6">
                  <c:v>9.4E-2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C-074D-A642-55428EA08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737872"/>
        <c:axId val="964742224"/>
      </c:barChart>
      <c:catAx>
        <c:axId val="96473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42224"/>
        <c:crosses val="autoZero"/>
        <c:auto val="1"/>
        <c:lblAlgn val="ctr"/>
        <c:lblOffset val="100"/>
        <c:noMultiLvlLbl val="0"/>
      </c:catAx>
      <c:valAx>
        <c:axId val="96474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3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Late Delivery Rate by Shipping Mode (%)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Shipping!$C$1</c:f>
              <c:strCache>
                <c:ptCount val="1"/>
                <c:pt idx="0">
                  <c:v>late_pct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Shipping!$A$2:$A$5</c:f>
              <c:strCache>
                <c:ptCount val="4"/>
                <c:pt idx="0">
                  <c:v>First Class</c:v>
                </c:pt>
                <c:pt idx="1">
                  <c:v>Second Class</c:v>
                </c:pt>
                <c:pt idx="2">
                  <c:v>Same Day</c:v>
                </c:pt>
                <c:pt idx="3">
                  <c:v>Standard Class</c:v>
                </c:pt>
              </c:strCache>
            </c:strRef>
          </c:cat>
          <c:val>
            <c:numRef>
              <c:f>Shipping!$C$2:$C$5</c:f>
              <c:numCache>
                <c:formatCode>General</c:formatCode>
                <c:ptCount val="4"/>
                <c:pt idx="0">
                  <c:v>95.3</c:v>
                </c:pt>
                <c:pt idx="1">
                  <c:v>76.599999999999994</c:v>
                </c:pt>
                <c:pt idx="2">
                  <c:v>45.7</c:v>
                </c:pt>
                <c:pt idx="3">
                  <c:v>38.1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E-AA4B-BBDD-418C966D9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077840"/>
        <c:axId val="1017104336"/>
      </c:barChart>
      <c:catAx>
        <c:axId val="49207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104336"/>
        <c:crosses val="autoZero"/>
        <c:auto val="1"/>
        <c:lblAlgn val="ctr"/>
        <c:lblOffset val="100"/>
        <c:noMultiLvlLbl val="0"/>
      </c:catAx>
      <c:valAx>
        <c:axId val="101710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07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Total 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Sales!$C$2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Sales!$A$3:$A$9</c:f>
              <c:strCache>
                <c:ptCount val="7"/>
                <c:pt idx="0">
                  <c:v>Fishing</c:v>
                </c:pt>
                <c:pt idx="1">
                  <c:v>Cleats</c:v>
                </c:pt>
                <c:pt idx="2">
                  <c:v>Camping &amp; Hiking</c:v>
                </c:pt>
                <c:pt idx="3">
                  <c:v>Cardio Equipment</c:v>
                </c:pt>
                <c:pt idx="4">
                  <c:v>Women's Apparel</c:v>
                </c:pt>
                <c:pt idx="5">
                  <c:v>Water Sports</c:v>
                </c:pt>
                <c:pt idx="6">
                  <c:v>Men's Footwear</c:v>
                </c:pt>
              </c:strCache>
            </c:strRef>
          </c:cat>
          <c:val>
            <c:numRef>
              <c:f>Sales!$C$3:$C$9</c:f>
              <c:numCache>
                <c:formatCode>General</c:formatCode>
                <c:ptCount val="7"/>
                <c:pt idx="0">
                  <c:v>6929654</c:v>
                </c:pt>
                <c:pt idx="1">
                  <c:v>4431943</c:v>
                </c:pt>
                <c:pt idx="2">
                  <c:v>4118426</c:v>
                </c:pt>
                <c:pt idx="3">
                  <c:v>3694843</c:v>
                </c:pt>
                <c:pt idx="4">
                  <c:v>3147800</c:v>
                </c:pt>
                <c:pt idx="5">
                  <c:v>3113845</c:v>
                </c:pt>
                <c:pt idx="6">
                  <c:v>2891758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2-5242-B611-E562EA8B8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16469840"/>
        <c:axId val="2016468672"/>
      </c:barChart>
      <c:catAx>
        <c:axId val="201646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68672"/>
        <c:crosses val="autoZero"/>
        <c:auto val="1"/>
        <c:lblAlgn val="ctr"/>
        <c:lblOffset val="100"/>
        <c:noMultiLvlLbl val="0"/>
      </c:catAx>
      <c:valAx>
        <c:axId val="201646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46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Late Delivery Rate by Region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Region!$C$1</c:f>
              <c:strCache>
                <c:ptCount val="1"/>
                <c:pt idx="0">
                  <c:v>late_pct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Region!$A$2:$A$8</c:f>
              <c:strCache>
                <c:ptCount val="7"/>
                <c:pt idx="0">
                  <c:v>Western Europe</c:v>
                </c:pt>
                <c:pt idx="1">
                  <c:v>Central America</c:v>
                </c:pt>
                <c:pt idx="2">
                  <c:v>South America</c:v>
                </c:pt>
                <c:pt idx="3">
                  <c:v>Northern Europe</c:v>
                </c:pt>
                <c:pt idx="4">
                  <c:v>Southern Europe</c:v>
                </c:pt>
                <c:pt idx="5">
                  <c:v>Oceania</c:v>
                </c:pt>
                <c:pt idx="6">
                  <c:v>Southeast Asia</c:v>
                </c:pt>
              </c:strCache>
            </c:strRef>
          </c:cat>
          <c:val>
            <c:numRef>
              <c:f>Region!$C$2:$C$8</c:f>
              <c:numCache>
                <c:formatCode>General</c:formatCode>
                <c:ptCount val="7"/>
                <c:pt idx="0">
                  <c:v>55.8</c:v>
                </c:pt>
                <c:pt idx="1">
                  <c:v>54.8</c:v>
                </c:pt>
                <c:pt idx="2">
                  <c:v>54.3</c:v>
                </c:pt>
                <c:pt idx="3">
                  <c:v>54</c:v>
                </c:pt>
                <c:pt idx="4">
                  <c:v>54.4</c:v>
                </c:pt>
                <c:pt idx="5">
                  <c:v>54</c:v>
                </c:pt>
                <c:pt idx="6">
                  <c:v>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3-BF49-8B35-8AFAC165C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969440"/>
        <c:axId val="942088960"/>
      </c:barChart>
      <c:catAx>
        <c:axId val="201696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088960"/>
        <c:crossesAt val="0"/>
        <c:auto val="1"/>
        <c:lblAlgn val="ctr"/>
        <c:lblOffset val="100"/>
        <c:noMultiLvlLbl val="0"/>
      </c:catAx>
      <c:valAx>
        <c:axId val="9420889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696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effectLst/>
              </a:rPr>
              <a:t>Average Profit Ratio by Category (Lowest 7)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vs Profit'!$C$1</c:f>
              <c:strCache>
                <c:ptCount val="1"/>
                <c:pt idx="0">
                  <c:v>avg_profit_ratio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'Discount vs Profit'!$A$2:$A$8</c:f>
              <c:strCache>
                <c:ptCount val="7"/>
                <c:pt idx="0">
                  <c:v>Men's Clothing</c:v>
                </c:pt>
                <c:pt idx="1">
                  <c:v>Strength Training</c:v>
                </c:pt>
                <c:pt idx="2">
                  <c:v>As Seen on TV!</c:v>
                </c:pt>
                <c:pt idx="3">
                  <c:v>Books</c:v>
                </c:pt>
                <c:pt idx="4">
                  <c:v>Video Games</c:v>
                </c:pt>
                <c:pt idx="5">
                  <c:v>Hunting &amp; Shooting</c:v>
                </c:pt>
                <c:pt idx="6">
                  <c:v>Pet Supplies</c:v>
                </c:pt>
              </c:strCache>
            </c:strRef>
          </c:cat>
          <c:val>
            <c:numRef>
              <c:f>'Discount vs Profit'!$C$2:$C$8</c:f>
              <c:numCache>
                <c:formatCode>General</c:formatCode>
                <c:ptCount val="7"/>
                <c:pt idx="0">
                  <c:v>5.2999999999999999E-2</c:v>
                </c:pt>
                <c:pt idx="1">
                  <c:v>5.8999999999999997E-2</c:v>
                </c:pt>
                <c:pt idx="2">
                  <c:v>6.5000000000000002E-2</c:v>
                </c:pt>
                <c:pt idx="3">
                  <c:v>7.9000000000000001E-2</c:v>
                </c:pt>
                <c:pt idx="4">
                  <c:v>9.1999999999999998E-2</c:v>
                </c:pt>
                <c:pt idx="5">
                  <c:v>9.2999999999999999E-2</c:v>
                </c:pt>
                <c:pt idx="6">
                  <c:v>9.4E-2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D-5648-9969-ABB4B3A02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4737872"/>
        <c:axId val="964742224"/>
      </c:barChart>
      <c:catAx>
        <c:axId val="96473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42224"/>
        <c:crosses val="autoZero"/>
        <c:auto val="1"/>
        <c:lblAlgn val="ctr"/>
        <c:lblOffset val="100"/>
        <c:noMultiLvlLbl val="0"/>
      </c:catAx>
      <c:valAx>
        <c:axId val="96474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3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10</xdr:row>
      <xdr:rowOff>0</xdr:rowOff>
    </xdr:from>
    <xdr:to>
      <xdr:col>5</xdr:col>
      <xdr:colOff>546100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F23D6-D73A-7A4E-95EB-F8898BF85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</xdr:colOff>
      <xdr:row>10</xdr:row>
      <xdr:rowOff>12700</xdr:rowOff>
    </xdr:from>
    <xdr:to>
      <xdr:col>13</xdr:col>
      <xdr:colOff>812800</xdr:colOff>
      <xdr:row>25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199CBB-1A82-C34B-AF1F-1B7C0D2CF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177800</xdr:rowOff>
    </xdr:from>
    <xdr:to>
      <xdr:col>5</xdr:col>
      <xdr:colOff>768350</xdr:colOff>
      <xdr:row>43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8A7054-0E3B-464A-A996-836EC669B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736600</xdr:colOff>
      <xdr:row>28</xdr:row>
      <xdr:rowOff>114300</xdr:rowOff>
    </xdr:from>
    <xdr:to>
      <xdr:col>13</xdr:col>
      <xdr:colOff>146050</xdr:colOff>
      <xdr:row>44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256D85-1A1D-5949-853E-87E03D1D1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882650</xdr:colOff>
      <xdr:row>11</xdr:row>
      <xdr:rowOff>203200</xdr:rowOff>
    </xdr:from>
    <xdr:to>
      <xdr:col>5</xdr:col>
      <xdr:colOff>171450</xdr:colOff>
      <xdr:row>25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8EAE3C-079A-1D79-2A0F-8E7D58632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12</xdr:row>
      <xdr:rowOff>25400</xdr:rowOff>
    </xdr:from>
    <xdr:to>
      <xdr:col>7</xdr:col>
      <xdr:colOff>88900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E3F9DD-8DDA-CCBE-6D9A-1F467BE2F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12</xdr:row>
      <xdr:rowOff>25400</xdr:rowOff>
    </xdr:from>
    <xdr:to>
      <xdr:col>8</xdr:col>
      <xdr:colOff>279400</xdr:colOff>
      <xdr:row>27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0D705-8855-53FF-6CFB-1ADFB10EE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793750</xdr:colOff>
      <xdr:row>12</xdr:row>
      <xdr:rowOff>25400</xdr:rowOff>
    </xdr:from>
    <xdr:to>
      <xdr:col>8</xdr:col>
      <xdr:colOff>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A972D-2230-FF6E-5468-42D96B6E3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81770-A2FD-0048-9CD6-094ACC3A9BDE}">
  <dimension ref="B2:L59"/>
  <sheetViews>
    <sheetView tabSelected="1" workbookViewId="0">
      <selection activeCell="L62" sqref="L62"/>
    </sheetView>
  </sheetViews>
  <sheetFormatPr baseColWidth="10" defaultRowHeight="16" x14ac:dyDescent="0.2"/>
  <sheetData>
    <row r="2" spans="2:2" ht="25" x14ac:dyDescent="0.3">
      <c r="B2" s="5" t="s">
        <v>34</v>
      </c>
    </row>
    <row r="4" spans="2:2" ht="24" x14ac:dyDescent="0.3">
      <c r="B4" s="6" t="s">
        <v>35</v>
      </c>
    </row>
    <row r="49" spans="2:12" ht="22" x14ac:dyDescent="0.3">
      <c r="B49" s="7" t="s">
        <v>36</v>
      </c>
    </row>
    <row r="51" spans="2:12" x14ac:dyDescent="0.2">
      <c r="B51" t="s">
        <v>37</v>
      </c>
    </row>
    <row r="53" spans="2:12" x14ac:dyDescent="0.2">
      <c r="B53" t="s">
        <v>38</v>
      </c>
    </row>
    <row r="55" spans="2:12" x14ac:dyDescent="0.2">
      <c r="B55" t="s">
        <v>39</v>
      </c>
    </row>
    <row r="57" spans="2:12" x14ac:dyDescent="0.2">
      <c r="B57" t="s">
        <v>40</v>
      </c>
      <c r="L57" s="8"/>
    </row>
    <row r="59" spans="2:12" x14ac:dyDescent="0.2">
      <c r="B59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6BDA-4357-8B4A-93D4-11033D345E63}">
  <dimension ref="A1:G14"/>
  <sheetViews>
    <sheetView workbookViewId="0">
      <selection activeCell="D31" sqref="D31"/>
    </sheetView>
  </sheetViews>
  <sheetFormatPr baseColWidth="10" defaultRowHeight="16" x14ac:dyDescent="0.2"/>
  <cols>
    <col min="1" max="1" width="14.6640625" customWidth="1"/>
    <col min="3" max="3" width="18.6640625" customWidth="1"/>
    <col min="4" max="4" width="14.33203125" customWidth="1"/>
    <col min="6" max="6" width="17.6640625" customWidth="1"/>
  </cols>
  <sheetData>
    <row r="1" spans="1:7" x14ac:dyDescent="0.2">
      <c r="A1" s="1" t="s">
        <v>5</v>
      </c>
      <c r="B1" s="1" t="s">
        <v>0</v>
      </c>
      <c r="C1" s="1" t="s">
        <v>6</v>
      </c>
      <c r="D1" s="1" t="s">
        <v>7</v>
      </c>
    </row>
    <row r="2" spans="1:7" x14ac:dyDescent="0.2">
      <c r="A2" t="s">
        <v>1</v>
      </c>
      <c r="B2">
        <v>27814</v>
      </c>
      <c r="C2">
        <v>95.3</v>
      </c>
      <c r="D2">
        <v>0.126</v>
      </c>
    </row>
    <row r="3" spans="1:7" x14ac:dyDescent="0.2">
      <c r="A3" t="s">
        <v>2</v>
      </c>
      <c r="B3">
        <v>35216</v>
      </c>
      <c r="C3">
        <v>76.599999999999994</v>
      </c>
      <c r="D3">
        <v>0.11799999999999999</v>
      </c>
    </row>
    <row r="4" spans="1:7" x14ac:dyDescent="0.2">
      <c r="A4" t="s">
        <v>3</v>
      </c>
      <c r="B4">
        <v>9737</v>
      </c>
      <c r="C4">
        <v>45.7</v>
      </c>
      <c r="D4">
        <v>0.11799999999999999</v>
      </c>
      <c r="E4" s="1"/>
      <c r="F4" s="1"/>
      <c r="G4" s="2">
        <v>0.126</v>
      </c>
    </row>
    <row r="5" spans="1:7" x14ac:dyDescent="0.2">
      <c r="A5" t="s">
        <v>4</v>
      </c>
      <c r="B5">
        <v>107752</v>
      </c>
      <c r="C5">
        <v>38.1</v>
      </c>
      <c r="D5">
        <v>0.12</v>
      </c>
      <c r="E5" s="2"/>
      <c r="F5" s="2"/>
      <c r="G5" s="2">
        <v>0.11799999999999999</v>
      </c>
    </row>
    <row r="6" spans="1:7" x14ac:dyDescent="0.2">
      <c r="C6" s="2" t="s">
        <v>2</v>
      </c>
      <c r="D6" s="2">
        <v>35216</v>
      </c>
      <c r="E6" s="2">
        <v>76.599999999999994</v>
      </c>
      <c r="F6" s="2">
        <v>0.11799999999999999</v>
      </c>
      <c r="G6" s="2">
        <v>0.11799999999999999</v>
      </c>
    </row>
    <row r="7" spans="1:7" x14ac:dyDescent="0.2">
      <c r="C7" s="2" t="s">
        <v>3</v>
      </c>
      <c r="D7" s="2">
        <v>9737</v>
      </c>
      <c r="E7" s="2">
        <v>45.7</v>
      </c>
      <c r="F7" s="2">
        <v>0.11799999999999999</v>
      </c>
      <c r="G7" s="2">
        <v>0.12</v>
      </c>
    </row>
    <row r="8" spans="1:7" x14ac:dyDescent="0.2">
      <c r="C8" s="2" t="s">
        <v>4</v>
      </c>
      <c r="D8" s="2">
        <v>107752</v>
      </c>
      <c r="E8" s="2">
        <v>38.1</v>
      </c>
      <c r="F8" s="2">
        <v>0.12</v>
      </c>
    </row>
    <row r="10" spans="1:7" ht="17" x14ac:dyDescent="0.2">
      <c r="C10" s="3"/>
      <c r="D10" s="3"/>
      <c r="E10" s="3"/>
      <c r="F10" s="3"/>
    </row>
    <row r="11" spans="1:7" ht="17" x14ac:dyDescent="0.2">
      <c r="C11" s="4"/>
      <c r="D11" s="4"/>
      <c r="E11" s="4"/>
      <c r="F11" s="4"/>
    </row>
    <row r="12" spans="1:7" ht="17" x14ac:dyDescent="0.2">
      <c r="C12" s="4"/>
      <c r="D12" s="4"/>
      <c r="E12" s="4"/>
      <c r="F12" s="4"/>
    </row>
    <row r="13" spans="1:7" ht="17" x14ac:dyDescent="0.2">
      <c r="C13" s="4"/>
      <c r="D13" s="4"/>
      <c r="E13" s="4"/>
      <c r="F13" s="4"/>
    </row>
    <row r="14" spans="1:7" ht="17" x14ac:dyDescent="0.2">
      <c r="C14" s="4"/>
      <c r="D14" s="4"/>
      <c r="E14" s="4"/>
      <c r="F14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21DBA-AF29-2D4A-8FDA-3174DEA52456}">
  <dimension ref="A2:C9"/>
  <sheetViews>
    <sheetView workbookViewId="0">
      <selection activeCell="J20" sqref="J20"/>
    </sheetView>
  </sheetViews>
  <sheetFormatPr baseColWidth="10" defaultRowHeight="16" x14ac:dyDescent="0.2"/>
  <cols>
    <col min="1" max="1" width="17.6640625" customWidth="1"/>
  </cols>
  <sheetData>
    <row r="2" spans="1:3" x14ac:dyDescent="0.2">
      <c r="A2" s="1" t="s">
        <v>8</v>
      </c>
      <c r="B2" s="1" t="s">
        <v>0</v>
      </c>
      <c r="C2" s="1" t="s">
        <v>9</v>
      </c>
    </row>
    <row r="3" spans="1:3" x14ac:dyDescent="0.2">
      <c r="A3" t="s">
        <v>10</v>
      </c>
      <c r="B3">
        <v>17325</v>
      </c>
      <c r="C3">
        <v>6929654</v>
      </c>
    </row>
    <row r="4" spans="1:3" x14ac:dyDescent="0.2">
      <c r="A4" t="s">
        <v>11</v>
      </c>
      <c r="B4">
        <v>24551</v>
      </c>
      <c r="C4">
        <v>4431943</v>
      </c>
    </row>
    <row r="5" spans="1:3" x14ac:dyDescent="0.2">
      <c r="A5" t="s">
        <v>12</v>
      </c>
      <c r="B5">
        <v>13729</v>
      </c>
      <c r="C5">
        <v>4118426</v>
      </c>
    </row>
    <row r="6" spans="1:3" x14ac:dyDescent="0.2">
      <c r="A6" t="s">
        <v>13</v>
      </c>
      <c r="B6">
        <v>12487</v>
      </c>
      <c r="C6">
        <v>3694843</v>
      </c>
    </row>
    <row r="7" spans="1:3" x14ac:dyDescent="0.2">
      <c r="A7" t="s">
        <v>14</v>
      </c>
      <c r="B7">
        <v>21035</v>
      </c>
      <c r="C7">
        <v>3147800</v>
      </c>
    </row>
    <row r="8" spans="1:3" x14ac:dyDescent="0.2">
      <c r="A8" t="s">
        <v>15</v>
      </c>
      <c r="B8">
        <v>15540</v>
      </c>
      <c r="C8">
        <v>3113845</v>
      </c>
    </row>
    <row r="9" spans="1:3" x14ac:dyDescent="0.2">
      <c r="A9" t="s">
        <v>16</v>
      </c>
      <c r="B9">
        <v>22246</v>
      </c>
      <c r="C9">
        <v>2891758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1B42-54AC-E747-AC06-16219C53AC35}">
  <dimension ref="A1:D8"/>
  <sheetViews>
    <sheetView workbookViewId="0">
      <selection activeCell="H9" sqref="H9"/>
    </sheetView>
  </sheetViews>
  <sheetFormatPr baseColWidth="10" defaultRowHeight="16" x14ac:dyDescent="0.2"/>
  <cols>
    <col min="1" max="1" width="15.83203125" customWidth="1"/>
  </cols>
  <sheetData>
    <row r="1" spans="1:4" x14ac:dyDescent="0.2">
      <c r="A1" s="1" t="s">
        <v>17</v>
      </c>
      <c r="B1" s="1" t="s">
        <v>0</v>
      </c>
      <c r="C1" s="1" t="s">
        <v>6</v>
      </c>
      <c r="D1" s="1" t="s">
        <v>9</v>
      </c>
    </row>
    <row r="2" spans="1:4" x14ac:dyDescent="0.2">
      <c r="A2" t="s">
        <v>18</v>
      </c>
      <c r="B2">
        <v>27109</v>
      </c>
      <c r="C2">
        <v>55.8</v>
      </c>
      <c r="D2">
        <v>5894381</v>
      </c>
    </row>
    <row r="3" spans="1:4" x14ac:dyDescent="0.2">
      <c r="A3" t="s">
        <v>19</v>
      </c>
      <c r="B3">
        <v>28341</v>
      </c>
      <c r="C3">
        <v>54.8</v>
      </c>
      <c r="D3">
        <v>5665712</v>
      </c>
    </row>
    <row r="4" spans="1:4" x14ac:dyDescent="0.2">
      <c r="A4" t="s">
        <v>20</v>
      </c>
      <c r="B4">
        <v>14935</v>
      </c>
      <c r="C4">
        <v>54.3</v>
      </c>
      <c r="D4">
        <v>2960881</v>
      </c>
    </row>
    <row r="5" spans="1:4" x14ac:dyDescent="0.2">
      <c r="A5" t="s">
        <v>21</v>
      </c>
      <c r="B5">
        <v>9792</v>
      </c>
      <c r="C5">
        <v>54</v>
      </c>
      <c r="D5">
        <v>2155831</v>
      </c>
    </row>
    <row r="6" spans="1:4" x14ac:dyDescent="0.2">
      <c r="A6" t="s">
        <v>22</v>
      </c>
      <c r="B6">
        <v>9431</v>
      </c>
      <c r="C6">
        <v>54.4</v>
      </c>
      <c r="D6">
        <v>2047919</v>
      </c>
    </row>
    <row r="7" spans="1:4" x14ac:dyDescent="0.2">
      <c r="A7" t="s">
        <v>23</v>
      </c>
      <c r="B7">
        <v>10148</v>
      </c>
      <c r="C7">
        <v>54</v>
      </c>
      <c r="D7">
        <v>2016654</v>
      </c>
    </row>
    <row r="8" spans="1:4" x14ac:dyDescent="0.2">
      <c r="A8" t="s">
        <v>24</v>
      </c>
      <c r="B8">
        <v>9539</v>
      </c>
      <c r="C8">
        <v>55.5</v>
      </c>
      <c r="D8">
        <v>1932496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5CB7D-68AE-DE49-B33A-AB5927B436AF}">
  <dimension ref="A1:D8"/>
  <sheetViews>
    <sheetView workbookViewId="0">
      <selection activeCell="H7" sqref="H7"/>
    </sheetView>
  </sheetViews>
  <sheetFormatPr baseColWidth="10" defaultRowHeight="16" x14ac:dyDescent="0.2"/>
  <cols>
    <col min="1" max="1" width="20.6640625" customWidth="1"/>
    <col min="3" max="3" width="13.5" customWidth="1"/>
  </cols>
  <sheetData>
    <row r="1" spans="1:4" x14ac:dyDescent="0.2">
      <c r="A1" s="1" t="s">
        <v>8</v>
      </c>
      <c r="B1" s="1" t="s">
        <v>25</v>
      </c>
      <c r="C1" s="1" t="s">
        <v>7</v>
      </c>
      <c r="D1" s="1" t="s">
        <v>26</v>
      </c>
    </row>
    <row r="2" spans="1:4" x14ac:dyDescent="0.2">
      <c r="A2" t="s">
        <v>27</v>
      </c>
      <c r="B2">
        <v>10.3</v>
      </c>
      <c r="C2">
        <v>5.2999999999999999E-2</v>
      </c>
      <c r="D2">
        <v>208</v>
      </c>
    </row>
    <row r="3" spans="1:4" x14ac:dyDescent="0.2">
      <c r="A3" t="s">
        <v>28</v>
      </c>
      <c r="B3">
        <v>10.5</v>
      </c>
      <c r="C3">
        <v>5.8999999999999997E-2</v>
      </c>
      <c r="D3">
        <v>111</v>
      </c>
    </row>
    <row r="4" spans="1:4" x14ac:dyDescent="0.2">
      <c r="A4" t="s">
        <v>29</v>
      </c>
      <c r="B4">
        <v>10.9</v>
      </c>
      <c r="C4">
        <v>6.5000000000000002E-2</v>
      </c>
      <c r="D4">
        <v>68</v>
      </c>
    </row>
    <row r="5" spans="1:4" x14ac:dyDescent="0.2">
      <c r="A5" t="s">
        <v>30</v>
      </c>
      <c r="B5">
        <v>10.199999999999999</v>
      </c>
      <c r="C5">
        <v>7.9000000000000001E-2</v>
      </c>
      <c r="D5">
        <v>405</v>
      </c>
    </row>
    <row r="6" spans="1:4" x14ac:dyDescent="0.2">
      <c r="A6" t="s">
        <v>31</v>
      </c>
      <c r="B6">
        <v>10.199999999999999</v>
      </c>
      <c r="C6">
        <v>9.1999999999999998E-2</v>
      </c>
      <c r="D6">
        <v>838</v>
      </c>
    </row>
    <row r="7" spans="1:4" x14ac:dyDescent="0.2">
      <c r="A7" t="s">
        <v>32</v>
      </c>
      <c r="B7">
        <v>10.5</v>
      </c>
      <c r="C7">
        <v>9.2999999999999999E-2</v>
      </c>
      <c r="D7">
        <v>440</v>
      </c>
    </row>
    <row r="8" spans="1:4" x14ac:dyDescent="0.2">
      <c r="A8" t="s">
        <v>33</v>
      </c>
      <c r="B8">
        <v>10.199999999999999</v>
      </c>
      <c r="C8">
        <v>9.4E-2</v>
      </c>
      <c r="D8">
        <v>492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Shipping</vt:lpstr>
      <vt:lpstr>Sales</vt:lpstr>
      <vt:lpstr>Region</vt:lpstr>
      <vt:lpstr>Discount vs Profit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Srijana Tamang</dc:creator>
  <cp:lastModifiedBy>Srijana Tamang</cp:lastModifiedBy>
  <dcterms:created xsi:type="dcterms:W3CDTF">2026-09-25T02:10:47Z</dcterms:created>
  <dcterms:modified xsi:type="dcterms:W3CDTF">2026-09-25T03:04:38Z</dcterms:modified>
</cp:coreProperties>
</file>